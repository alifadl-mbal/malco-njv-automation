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embers" sheetId="2" state="visible" r:id="rId4"/>
    <sheet name="Holdings split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<sst xmlns="http://schemas.openxmlformats.org/spreadsheetml/2006/main" count="325" uniqueCount="188">
  <si>
    <t xml:space="preserve">Family Split Master — input for the statement automation</t>
  </si>
  <si>
    <t xml:space="preserve">Upload this one workbook in the app's “Family split workbook” box (Investcorp or EFG).</t>
  </si>
  <si>
    <t xml:space="preserve">The engine reads each sheet by its header row, so keep the header rows exactly as they are.</t>
  </si>
  <si>
    <t xml:space="preserve">Members</t>
  </si>
  <si>
    <t xml:space="preserve">One row per investor per split investment — all investments in the same sheet.</t>
  </si>
  <si>
    <t xml:space="preserve">For a distribution the engine takes only the rows whose Analysis Code is that investment's.</t>
  </si>
  <si>
    <t xml:space="preserve">Investment (USD) = the investor's original investment in that deal.</t>
  </si>
  <si>
    <t xml:space="preserve">Share = dividend × investor's investment ÷ the deal's Investment Amount on the letter (Exhibit A).</t>
  </si>
  <si>
    <t xml:space="preserve">To add an investment: add its rows with its Analysis Code. To change one: edit its rows.</t>
  </si>
  <si>
    <t xml:space="preserve">Prefilled: 2019 US Industrial &amp; Logistics, 27 investors, from the July 2026 split sheet.</t>
  </si>
  <si>
    <t xml:space="preserve">Holdings split</t>
  </si>
  <si>
    <t xml:space="preserve">Malco / Capital M fraction per holding — same layout as sheet “1” of Split_revised.xlsx.</t>
  </si>
  <si>
    <t xml:space="preserve">Prefilled with your 45 rows. Malco + capital M must equal 1 (column H checks it).</t>
  </si>
  <si>
    <t xml:space="preserve">Any holding with a capital M share needs its investors in Members, or its entries are withheld.</t>
  </si>
  <si>
    <t xml:space="preserve">Summary</t>
  </si>
  <si>
    <t xml:space="preserve">For every holding with a capital M share: how many investors are listed and their total.</t>
  </si>
  <si>
    <t xml:space="preserve">A 0 there means a distribution on that holding will be withheld until its investors are added.</t>
  </si>
  <si>
    <t xml:space="preserve">Colours: yellow cells are inputs; blue text = values you typed; black = formulas.</t>
  </si>
  <si>
    <t xml:space="preserve">Analysis Code</t>
  </si>
  <si>
    <t xml:space="preserve">Portfolio</t>
  </si>
  <si>
    <t xml:space="preserve">CM Code</t>
  </si>
  <si>
    <t xml:space="preserve">Investor</t>
  </si>
  <si>
    <t xml:space="preserve">Investment (USD)</t>
  </si>
  <si>
    <t xml:space="preserve">M00131794562</t>
  </si>
  <si>
    <t xml:space="preserve">2019 US Industrial &amp; Logistics Portfolio</t>
  </si>
  <si>
    <t xml:space="preserve">CM0001</t>
  </si>
  <si>
    <t xml:space="preserve">Malco Capital Investments LLC</t>
  </si>
  <si>
    <t xml:space="preserve">CM0004</t>
  </si>
  <si>
    <t xml:space="preserve">Moosa Abullatif Mustafa</t>
  </si>
  <si>
    <t xml:space="preserve">CM0005</t>
  </si>
  <si>
    <t xml:space="preserve">ASIA ARIF</t>
  </si>
  <si>
    <t xml:space="preserve">CM0006</t>
  </si>
  <si>
    <t xml:space="preserve">HAMDAN MOSTAFA</t>
  </si>
  <si>
    <t xml:space="preserve">CM0007</t>
  </si>
  <si>
    <t xml:space="preserve">REDHWANA ABBAS</t>
  </si>
  <si>
    <t xml:space="preserve">CM0008</t>
  </si>
  <si>
    <t xml:space="preserve">Heirs of Ali Abdullatif</t>
  </si>
  <si>
    <t xml:space="preserve">CM0009</t>
  </si>
  <si>
    <t xml:space="preserve">AL MANHAJ</t>
  </si>
  <si>
    <t xml:space="preserve">CM0011</t>
  </si>
  <si>
    <t xml:space="preserve">FAIZA MOSTAFA</t>
  </si>
  <si>
    <t xml:space="preserve">CM0012</t>
  </si>
  <si>
    <t xml:space="preserve">RAANA ABBAS</t>
  </si>
  <si>
    <t xml:space="preserve">CM0013</t>
  </si>
  <si>
    <t xml:space="preserve">NARGEES</t>
  </si>
  <si>
    <t xml:space="preserve">CM0015</t>
  </si>
  <si>
    <t xml:space="preserve">MUSTAFA ANWAR MUSTAFA</t>
  </si>
  <si>
    <t xml:space="preserve">CM0016</t>
  </si>
  <si>
    <t xml:space="preserve">ZAINAB AL AWADHI</t>
  </si>
  <si>
    <t xml:space="preserve">CM0017</t>
  </si>
  <si>
    <t xml:space="preserve">Monawar Abdulla Mustafa Abdullatif</t>
  </si>
  <si>
    <t xml:space="preserve">CM0018</t>
  </si>
  <si>
    <t xml:space="preserve">AHMED KHOORI</t>
  </si>
  <si>
    <t xml:space="preserve">CM0019</t>
  </si>
  <si>
    <t xml:space="preserve">NASREEN ABDULLA</t>
  </si>
  <si>
    <t xml:space="preserve">CM0020</t>
  </si>
  <si>
    <t xml:space="preserve">NAIM AL HASHMI</t>
  </si>
  <si>
    <t xml:space="preserve">CM0021</t>
  </si>
  <si>
    <t xml:space="preserve">ANWAR MOSTAFA</t>
  </si>
  <si>
    <t xml:space="preserve">CM0022</t>
  </si>
  <si>
    <t xml:space="preserve">RUQAYA FIKREE</t>
  </si>
  <si>
    <t xml:space="preserve">CM0024</t>
  </si>
  <si>
    <t xml:space="preserve">Mrs.Jehan Mostafa</t>
  </si>
  <si>
    <t xml:space="preserve">CM0025</t>
  </si>
  <si>
    <t xml:space="preserve">Doodman (Transferred to Malco)</t>
  </si>
  <si>
    <t xml:space="preserve">CM0026</t>
  </si>
  <si>
    <t xml:space="preserve">Marya Abdulla Mustafa</t>
  </si>
  <si>
    <t xml:space="preserve">CM0027</t>
  </si>
  <si>
    <t xml:space="preserve">Fathiya Mukri</t>
  </si>
  <si>
    <t xml:space="preserve">CM0028</t>
  </si>
  <si>
    <t xml:space="preserve">OMRAN MOSTAFA</t>
  </si>
  <si>
    <t xml:space="preserve">CM0029</t>
  </si>
  <si>
    <t xml:space="preserve">NAELA MOSTAFA</t>
  </si>
  <si>
    <t xml:space="preserve">CM0030</t>
  </si>
  <si>
    <t xml:space="preserve">NAEM MOSTAFA</t>
  </si>
  <si>
    <t xml:space="preserve">CM0031</t>
  </si>
  <si>
    <t xml:space="preserve">NADA MOSTAFA</t>
  </si>
  <si>
    <t xml:space="preserve">CM0032</t>
  </si>
  <si>
    <t xml:space="preserve">NILOOFER MOSTAFA</t>
  </si>
  <si>
    <t xml:space="preserve">No.</t>
  </si>
  <si>
    <t xml:space="preserve">Details</t>
  </si>
  <si>
    <t xml:space="preserve">Mapping</t>
  </si>
  <si>
    <t xml:space="preserve">Malco</t>
  </si>
  <si>
    <t xml:space="preserve">capital M</t>
  </si>
  <si>
    <t xml:space="preserve">Check</t>
  </si>
  <si>
    <t xml:space="preserve">Eastern Living Properties Portfolio</t>
  </si>
  <si>
    <t xml:space="preserve">Investcorp2</t>
  </si>
  <si>
    <t xml:space="preserve">FVOCI</t>
  </si>
  <si>
    <t xml:space="preserve">Investcorp</t>
  </si>
  <si>
    <t xml:space="preserve">US Student Housing V Portfolio</t>
  </si>
  <si>
    <t xml:space="preserve">Investcorp4</t>
  </si>
  <si>
    <t xml:space="preserve">Baltimore and Minneapolis Industrial Portfolio</t>
  </si>
  <si>
    <t xml:space="preserve">INVESTCORP5</t>
  </si>
  <si>
    <t xml:space="preserve">US Student Housing IV Portfolio</t>
  </si>
  <si>
    <t xml:space="preserve">INVESTCORP11</t>
  </si>
  <si>
    <t xml:space="preserve">US Industrial Growth Portfolio</t>
  </si>
  <si>
    <t xml:space="preserve">INVESTCORP6</t>
  </si>
  <si>
    <t xml:space="preserve">US Student Housing II Portfolio</t>
  </si>
  <si>
    <t xml:space="preserve">Investcorp3</t>
  </si>
  <si>
    <t xml:space="preserve">US Light Industrial Portfolio</t>
  </si>
  <si>
    <t xml:space="preserve">INVESTCORP7</t>
  </si>
  <si>
    <t xml:space="preserve">US Student Housing Portfolio</t>
  </si>
  <si>
    <t xml:space="preserve">M00184632243</t>
  </si>
  <si>
    <t xml:space="preserve">India Warehouse Portfolio</t>
  </si>
  <si>
    <t xml:space="preserve">Las Vegas Infill Industrial Portfolio</t>
  </si>
  <si>
    <t xml:space="preserve">M00180124186</t>
  </si>
  <si>
    <t xml:space="preserve">Boston and Minneapolis Properties Portfolio</t>
  </si>
  <si>
    <t xml:space="preserve">M00170835188</t>
  </si>
  <si>
    <t xml:space="preserve">2022 Residential Properties Portfolio</t>
  </si>
  <si>
    <t xml:space="preserve">M00168424083</t>
  </si>
  <si>
    <t xml:space="preserve">Florida Residential Portfolio</t>
  </si>
  <si>
    <t xml:space="preserve">M00160765218</t>
  </si>
  <si>
    <t xml:space="preserve">US National Industrial Portfolio II</t>
  </si>
  <si>
    <t xml:space="preserve">M00155699669</t>
  </si>
  <si>
    <t xml:space="preserve">2021 Multifamily II Portfolio</t>
  </si>
  <si>
    <t xml:space="preserve">M00147227616</t>
  </si>
  <si>
    <t xml:space="preserve">Sunbelt Multifamily Portfolio</t>
  </si>
  <si>
    <t xml:space="preserve">M00141485003</t>
  </si>
  <si>
    <t xml:space="preserve">2021 Multifamily Portfolio</t>
  </si>
  <si>
    <t xml:space="preserve">M00136377538</t>
  </si>
  <si>
    <t xml:space="preserve">Frankfurt and Hamburg Properties Portfolio</t>
  </si>
  <si>
    <t xml:space="preserve">M00131798105</t>
  </si>
  <si>
    <t xml:space="preserve">US Distribution Center Portfolio</t>
  </si>
  <si>
    <t xml:space="preserve">M00131791673</t>
  </si>
  <si>
    <t xml:space="preserve">Credit Opportunity Portfolio IV</t>
  </si>
  <si>
    <t xml:space="preserve">M00138314710</t>
  </si>
  <si>
    <t xml:space="preserve">Credit Opportunity Portfolio VIII</t>
  </si>
  <si>
    <t xml:space="preserve">Investcorp5</t>
  </si>
  <si>
    <t xml:space="preserve">JFK Airport</t>
  </si>
  <si>
    <t xml:space="preserve">INVESTCORP10</t>
  </si>
  <si>
    <t xml:space="preserve">Saudi Hospitality</t>
  </si>
  <si>
    <t xml:space="preserve">M00146223493</t>
  </si>
  <si>
    <t xml:space="preserve">Shuaa</t>
  </si>
  <si>
    <t xml:space="preserve">Vectara</t>
  </si>
  <si>
    <t xml:space="preserve">M00229099272</t>
  </si>
  <si>
    <t xml:space="preserve">Greensands</t>
  </si>
  <si>
    <t xml:space="preserve">1QBit</t>
  </si>
  <si>
    <t xml:space="preserve">M00155701502</t>
  </si>
  <si>
    <t xml:space="preserve">Stepful - Series A</t>
  </si>
  <si>
    <t xml:space="preserve">ZZ0000000062</t>
  </si>
  <si>
    <t xml:space="preserve">USA Rare Earth</t>
  </si>
  <si>
    <t xml:space="preserve">M00162315753</t>
  </si>
  <si>
    <t xml:space="preserve">Elve</t>
  </si>
  <si>
    <t xml:space="preserve">M00229099266</t>
  </si>
  <si>
    <t xml:space="preserve">Analog Inference</t>
  </si>
  <si>
    <t xml:space="preserve">ZZ0000000055</t>
  </si>
  <si>
    <t xml:space="preserve">Cogntiv</t>
  </si>
  <si>
    <t xml:space="preserve">M00229099267</t>
  </si>
  <si>
    <t xml:space="preserve">Paradromics</t>
  </si>
  <si>
    <t xml:space="preserve">M00229099265</t>
  </si>
  <si>
    <t xml:space="preserve">Arsenal Bio</t>
  </si>
  <si>
    <t xml:space="preserve">M00146217830</t>
  </si>
  <si>
    <t xml:space="preserve">Good Chemistry</t>
  </si>
  <si>
    <t xml:space="preserve">ZZ0000000063</t>
  </si>
  <si>
    <t xml:space="preserve">Greensands Funds II</t>
  </si>
  <si>
    <t xml:space="preserve">GreensandsII</t>
  </si>
  <si>
    <t xml:space="preserve">Tesco SS</t>
  </si>
  <si>
    <t xml:space="preserve">FFA0001</t>
  </si>
  <si>
    <t xml:space="preserve">FFA</t>
  </si>
  <si>
    <t xml:space="preserve">Vantage Data Centre</t>
  </si>
  <si>
    <t xml:space="preserve">KYG7387H1526</t>
  </si>
  <si>
    <t xml:space="preserve">Dar Al Arkan Sukuk 7.250% 02/07/2030</t>
  </si>
  <si>
    <t xml:space="preserve">XS3101460304</t>
  </si>
  <si>
    <t xml:space="preserve">Emirates Islamic</t>
  </si>
  <si>
    <t xml:space="preserve">US Living Debt Fund I</t>
  </si>
  <si>
    <t xml:space="preserve">M00229099270</t>
  </si>
  <si>
    <t xml:space="preserve">GFH</t>
  </si>
  <si>
    <t xml:space="preserve">Wadi Al Amal</t>
  </si>
  <si>
    <t xml:space="preserve">M00229099271</t>
  </si>
  <si>
    <t xml:space="preserve">Dividend Gate</t>
  </si>
  <si>
    <t xml:space="preserve">Flooss Holding</t>
  </si>
  <si>
    <t xml:space="preserve">M00214974768</t>
  </si>
  <si>
    <t xml:space="preserve">Jadwa Saudi Riyal Murabaha Fund</t>
  </si>
  <si>
    <t xml:space="preserve">M00132149087</t>
  </si>
  <si>
    <t xml:space="preserve">Jadwa</t>
  </si>
  <si>
    <t xml:space="preserve">Alternative Financing Fund</t>
  </si>
  <si>
    <t xml:space="preserve">ETHIS001</t>
  </si>
  <si>
    <t xml:space="preserve">Ethis</t>
  </si>
  <si>
    <t xml:space="preserve">Nuqi Holding</t>
  </si>
  <si>
    <t xml:space="preserve">NUQI001</t>
  </si>
  <si>
    <t xml:space="preserve">Nuqi</t>
  </si>
  <si>
    <t xml:space="preserve">Nuqi Blox</t>
  </si>
  <si>
    <t xml:space="preserve">NUQI002</t>
  </si>
  <si>
    <t xml:space="preserve">Holding</t>
  </si>
  <si>
    <t xml:space="preserve">Capital M share</t>
  </si>
  <si>
    <t xml:space="preserve">Investors listed</t>
  </si>
  <si>
    <t xml:space="preserve">Their investment (USD)</t>
  </si>
  <si>
    <t xml:space="preserve">Status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</si>
</sst>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A5C4C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2F0EC"/>
        <bgColor rgb="FFD8DDD8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DD8"/>
      </left>
      <right style="thin">
        <color rgb="FFD8DDD8"/>
      </right>
      <top style="thin">
        <color rgb="FFD8DDD8"/>
      </top>
      <bottom style="thin">
        <color rgb="FFD8DD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5C4C"/>
      <rgbColor rgb="FFC0C0C0"/>
      <rgbColor rgb="FF808080"/>
      <rgbColor rgb="FF9999FF"/>
      <rgbColor rgb="FF993366"/>
      <rgbColor rgb="FFFFF7D6"/>
      <rgbColor rgb="FFE2F0EC"/>
      <rgbColor rgb="FF660066"/>
      <rgbColor rgb="FFFF8080"/>
      <rgbColor rgb="FF0066CC"/>
      <rgbColor rgb="FFD8DD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36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customFormat="false" ht="15" hidden="false" customHeight="false" outlineLevel="0" collapsed="false">
      <c r="A2" s="5" t="s">
        <v>23</v>
      </c>
      <c r="B2" s="5" t="s">
        <v>24</v>
      </c>
      <c r="C2" s="5" t="s">
        <v>25</v>
      </c>
      <c r="D2" s="5" t="s">
        <v>26</v>
      </c>
      <c r="E2" s="6" t="n">
        <v>7998.011557</v>
      </c>
    </row>
    <row r="3" customFormat="false" ht="15" hidden="false" customHeight="false" outlineLevel="0" collapsed="false">
      <c r="A3" s="5" t="s">
        <v>23</v>
      </c>
      <c r="B3" s="5" t="s">
        <v>24</v>
      </c>
      <c r="C3" s="5" t="s">
        <v>27</v>
      </c>
      <c r="D3" s="5" t="s">
        <v>28</v>
      </c>
      <c r="E3" s="6" t="n">
        <v>0</v>
      </c>
    </row>
    <row r="4" customFormat="false" ht="15" hidden="false" customHeight="false" outlineLevel="0" collapsed="false">
      <c r="A4" s="5" t="s">
        <v>23</v>
      </c>
      <c r="B4" s="5" t="s">
        <v>24</v>
      </c>
      <c r="C4" s="5" t="s">
        <v>29</v>
      </c>
      <c r="D4" s="5" t="s">
        <v>30</v>
      </c>
      <c r="E4" s="6" t="n">
        <v>5859.267693</v>
      </c>
    </row>
    <row r="5" customFormat="false" ht="15" hidden="false" customHeight="false" outlineLevel="0" collapsed="false">
      <c r="A5" s="5" t="s">
        <v>23</v>
      </c>
      <c r="B5" s="5" t="s">
        <v>24</v>
      </c>
      <c r="C5" s="5" t="s">
        <v>31</v>
      </c>
      <c r="D5" s="5" t="s">
        <v>32</v>
      </c>
      <c r="E5" s="6" t="n">
        <v>5859.267693</v>
      </c>
    </row>
    <row r="6" customFormat="false" ht="15" hidden="false" customHeight="false" outlineLevel="0" collapsed="false">
      <c r="A6" s="5" t="s">
        <v>23</v>
      </c>
      <c r="B6" s="5" t="s">
        <v>24</v>
      </c>
      <c r="C6" s="5" t="s">
        <v>33</v>
      </c>
      <c r="D6" s="5" t="s">
        <v>34</v>
      </c>
      <c r="E6" s="6" t="n">
        <v>5859.267693</v>
      </c>
    </row>
    <row r="7" customFormat="false" ht="15" hidden="false" customHeight="false" outlineLevel="0" collapsed="false">
      <c r="A7" s="5" t="s">
        <v>23</v>
      </c>
      <c r="B7" s="5" t="s">
        <v>24</v>
      </c>
      <c r="C7" s="5" t="s">
        <v>35</v>
      </c>
      <c r="D7" s="5" t="s">
        <v>36</v>
      </c>
      <c r="E7" s="6" t="n">
        <v>9374.817214</v>
      </c>
    </row>
    <row r="8" customFormat="false" ht="15" hidden="false" customHeight="false" outlineLevel="0" collapsed="false">
      <c r="A8" s="5" t="s">
        <v>23</v>
      </c>
      <c r="B8" s="5" t="s">
        <v>24</v>
      </c>
      <c r="C8" s="5" t="s">
        <v>37</v>
      </c>
      <c r="D8" s="5" t="s">
        <v>38</v>
      </c>
      <c r="E8" s="6" t="n">
        <v>43358.730722</v>
      </c>
    </row>
    <row r="9" customFormat="false" ht="15" hidden="false" customHeight="false" outlineLevel="0" collapsed="false">
      <c r="A9" s="5" t="s">
        <v>23</v>
      </c>
      <c r="B9" s="5" t="s">
        <v>24</v>
      </c>
      <c r="C9" s="5" t="s">
        <v>39</v>
      </c>
      <c r="D9" s="5" t="s">
        <v>40</v>
      </c>
      <c r="E9" s="6" t="n">
        <v>5859.267693</v>
      </c>
    </row>
    <row r="10" customFormat="false" ht="15" hidden="false" customHeight="false" outlineLevel="0" collapsed="false">
      <c r="A10" s="5" t="s">
        <v>23</v>
      </c>
      <c r="B10" s="5" t="s">
        <v>24</v>
      </c>
      <c r="C10" s="5" t="s">
        <v>41</v>
      </c>
      <c r="D10" s="5" t="s">
        <v>42</v>
      </c>
      <c r="E10" s="6" t="n">
        <v>5859.267693</v>
      </c>
    </row>
    <row r="11" customFormat="false" ht="15" hidden="false" customHeight="false" outlineLevel="0" collapsed="false">
      <c r="A11" s="5" t="s">
        <v>23</v>
      </c>
      <c r="B11" s="5" t="s">
        <v>24</v>
      </c>
      <c r="C11" s="5" t="s">
        <v>43</v>
      </c>
      <c r="D11" s="5" t="s">
        <v>44</v>
      </c>
      <c r="E11" s="6" t="n">
        <v>585.915674</v>
      </c>
    </row>
    <row r="12" customFormat="false" ht="15" hidden="false" customHeight="false" outlineLevel="0" collapsed="false">
      <c r="A12" s="5" t="s">
        <v>23</v>
      </c>
      <c r="B12" s="5" t="s">
        <v>24</v>
      </c>
      <c r="C12" s="5" t="s">
        <v>45</v>
      </c>
      <c r="D12" s="5" t="s">
        <v>46</v>
      </c>
      <c r="E12" s="6" t="n">
        <v>2214.785102</v>
      </c>
    </row>
    <row r="13" customFormat="false" ht="15" hidden="false" customHeight="false" outlineLevel="0" collapsed="false">
      <c r="A13" s="5" t="s">
        <v>23</v>
      </c>
      <c r="B13" s="5" t="s">
        <v>24</v>
      </c>
      <c r="C13" s="5" t="s">
        <v>47</v>
      </c>
      <c r="D13" s="5" t="s">
        <v>48</v>
      </c>
      <c r="E13" s="6" t="n">
        <v>1523.414039</v>
      </c>
    </row>
    <row r="14" customFormat="false" ht="15" hidden="false" customHeight="false" outlineLevel="0" collapsed="false">
      <c r="A14" s="5" t="s">
        <v>23</v>
      </c>
      <c r="B14" s="5" t="s">
        <v>24</v>
      </c>
      <c r="C14" s="5" t="s">
        <v>49</v>
      </c>
      <c r="D14" s="5" t="s">
        <v>50</v>
      </c>
      <c r="E14" s="6" t="n">
        <v>1159.842856</v>
      </c>
    </row>
    <row r="15" customFormat="false" ht="15" hidden="false" customHeight="false" outlineLevel="0" collapsed="false">
      <c r="A15" s="5" t="s">
        <v>23</v>
      </c>
      <c r="B15" s="5" t="s">
        <v>24</v>
      </c>
      <c r="C15" s="5" t="s">
        <v>51</v>
      </c>
      <c r="D15" s="5" t="s">
        <v>52</v>
      </c>
      <c r="E15" s="6" t="n">
        <v>2882.761702</v>
      </c>
    </row>
    <row r="16" customFormat="false" ht="15" hidden="false" customHeight="false" outlineLevel="0" collapsed="false">
      <c r="A16" s="5" t="s">
        <v>23</v>
      </c>
      <c r="B16" s="5" t="s">
        <v>24</v>
      </c>
      <c r="C16" s="5" t="s">
        <v>53</v>
      </c>
      <c r="D16" s="5" t="s">
        <v>54</v>
      </c>
      <c r="E16" s="6" t="n">
        <v>5799.325238</v>
      </c>
    </row>
    <row r="17" customFormat="false" ht="15" hidden="false" customHeight="false" outlineLevel="0" collapsed="false">
      <c r="A17" s="5" t="s">
        <v>23</v>
      </c>
      <c r="B17" s="5" t="s">
        <v>24</v>
      </c>
      <c r="C17" s="5" t="s">
        <v>55</v>
      </c>
      <c r="D17" s="5" t="s">
        <v>56</v>
      </c>
      <c r="E17" s="6" t="n">
        <v>5859.267693</v>
      </c>
    </row>
    <row r="18" customFormat="false" ht="15" hidden="false" customHeight="false" outlineLevel="0" collapsed="false">
      <c r="A18" s="5" t="s">
        <v>23</v>
      </c>
      <c r="B18" s="5" t="s">
        <v>24</v>
      </c>
      <c r="C18" s="5" t="s">
        <v>57</v>
      </c>
      <c r="D18" s="5" t="s">
        <v>58</v>
      </c>
      <c r="E18" s="6" t="n">
        <v>5859.267693</v>
      </c>
    </row>
    <row r="19" customFormat="false" ht="15" hidden="false" customHeight="false" outlineLevel="0" collapsed="false">
      <c r="A19" s="5" t="s">
        <v>23</v>
      </c>
      <c r="B19" s="5" t="s">
        <v>24</v>
      </c>
      <c r="C19" s="5" t="s">
        <v>59</v>
      </c>
      <c r="D19" s="5" t="s">
        <v>60</v>
      </c>
      <c r="E19" s="6" t="n">
        <v>11598.678215</v>
      </c>
    </row>
    <row r="20" customFormat="false" ht="15" hidden="false" customHeight="false" outlineLevel="0" collapsed="false">
      <c r="A20" s="5" t="s">
        <v>23</v>
      </c>
      <c r="B20" s="5" t="s">
        <v>24</v>
      </c>
      <c r="C20" s="5" t="s">
        <v>61</v>
      </c>
      <c r="D20" s="5" t="s">
        <v>62</v>
      </c>
      <c r="E20" s="6" t="n">
        <v>8202.985866</v>
      </c>
    </row>
    <row r="21" customFormat="false" ht="15" hidden="false" customHeight="false" outlineLevel="0" collapsed="false">
      <c r="A21" s="5" t="s">
        <v>23</v>
      </c>
      <c r="B21" s="5" t="s">
        <v>24</v>
      </c>
      <c r="C21" s="5" t="s">
        <v>63</v>
      </c>
      <c r="D21" s="5" t="s">
        <v>64</v>
      </c>
      <c r="E21" s="6" t="n">
        <v>1171.831522</v>
      </c>
    </row>
    <row r="22" customFormat="false" ht="15" hidden="false" customHeight="false" outlineLevel="0" collapsed="false">
      <c r="A22" s="5" t="s">
        <v>23</v>
      </c>
      <c r="B22" s="5" t="s">
        <v>24</v>
      </c>
      <c r="C22" s="5" t="s">
        <v>65</v>
      </c>
      <c r="D22" s="5" t="s">
        <v>66</v>
      </c>
      <c r="E22" s="6" t="n">
        <v>2343.690434</v>
      </c>
    </row>
    <row r="23" customFormat="false" ht="15" hidden="false" customHeight="false" outlineLevel="0" collapsed="false">
      <c r="A23" s="5" t="s">
        <v>23</v>
      </c>
      <c r="B23" s="5" t="s">
        <v>24</v>
      </c>
      <c r="C23" s="5" t="s">
        <v>67</v>
      </c>
      <c r="D23" s="5" t="s">
        <v>68</v>
      </c>
      <c r="E23" s="6" t="n">
        <v>2462.311708</v>
      </c>
    </row>
    <row r="24" customFormat="false" ht="15" hidden="false" customHeight="false" outlineLevel="0" collapsed="false">
      <c r="A24" s="5" t="s">
        <v>23</v>
      </c>
      <c r="B24" s="5" t="s">
        <v>24</v>
      </c>
      <c r="C24" s="5" t="s">
        <v>69</v>
      </c>
      <c r="D24" s="5" t="s">
        <v>70</v>
      </c>
      <c r="E24" s="6" t="n">
        <v>3560.581841</v>
      </c>
    </row>
    <row r="25" customFormat="false" ht="15" hidden="false" customHeight="false" outlineLevel="0" collapsed="false">
      <c r="A25" s="5" t="s">
        <v>23</v>
      </c>
      <c r="B25" s="5" t="s">
        <v>24</v>
      </c>
      <c r="C25" s="5" t="s">
        <v>71</v>
      </c>
      <c r="D25" s="5" t="s">
        <v>72</v>
      </c>
      <c r="E25" s="6" t="n">
        <v>1186.860614</v>
      </c>
    </row>
    <row r="26" customFormat="false" ht="15" hidden="false" customHeight="false" outlineLevel="0" collapsed="false">
      <c r="A26" s="5" t="s">
        <v>23</v>
      </c>
      <c r="B26" s="5" t="s">
        <v>24</v>
      </c>
      <c r="C26" s="5" t="s">
        <v>73</v>
      </c>
      <c r="D26" s="5" t="s">
        <v>74</v>
      </c>
      <c r="E26" s="6" t="n">
        <v>1186.860614</v>
      </c>
    </row>
    <row r="27" customFormat="false" ht="15" hidden="false" customHeight="false" outlineLevel="0" collapsed="false">
      <c r="A27" s="5" t="s">
        <v>23</v>
      </c>
      <c r="B27" s="5" t="s">
        <v>24</v>
      </c>
      <c r="C27" s="5" t="s">
        <v>75</v>
      </c>
      <c r="D27" s="5" t="s">
        <v>76</v>
      </c>
      <c r="E27" s="6" t="n">
        <v>1186.860614</v>
      </c>
    </row>
    <row r="28" customFormat="false" ht="15" hidden="false" customHeight="false" outlineLevel="0" collapsed="false">
      <c r="A28" s="5" t="s">
        <v>23</v>
      </c>
      <c r="B28" s="5" t="s">
        <v>24</v>
      </c>
      <c r="C28" s="5" t="s">
        <v>77</v>
      </c>
      <c r="D28" s="5" t="s">
        <v>78</v>
      </c>
      <c r="E28" s="6" t="n">
        <v>1186.860614</v>
      </c>
    </row>
  </sheetData>
  <dataValidations count="1">
    <dataValidation allowBlank="true" error="CM code must look like CM0005" errorStyle="stop" operator="between" showDropDown="false" showErrorMessage="false" showInputMessage="false" sqref="C2:C1028" type="custom">
      <formula1>AND(LEFT(C2,2)="CM",LEN(C2)=6)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4" t="s">
        <v>79</v>
      </c>
      <c r="B1" s="4" t="s">
        <v>80</v>
      </c>
      <c r="C1" s="4" t="s">
        <v>18</v>
      </c>
      <c r="D1" s="4" t="s">
        <v>81</v>
      </c>
      <c r="E1" s="4" t="s">
        <v>19</v>
      </c>
      <c r="F1" s="4" t="s">
        <v>82</v>
      </c>
      <c r="G1" s="4" t="s">
        <v>83</v>
      </c>
      <c r="H1" s="4" t="s">
        <v>84</v>
      </c>
    </row>
    <row r="2" customFormat="false" ht="15" hidden="false" customHeight="false" outlineLevel="0" collapsed="false">
      <c r="A2" s="5" t="n">
        <v>1</v>
      </c>
      <c r="B2" s="5" t="s">
        <v>85</v>
      </c>
      <c r="C2" s="5" t="s">
        <v>86</v>
      </c>
      <c r="D2" s="5" t="s">
        <v>87</v>
      </c>
      <c r="E2" s="5" t="s">
        <v>88</v>
      </c>
      <c r="F2" s="7" t="n">
        <v>1</v>
      </c>
      <c r="G2" s="7" t="n">
        <v>0</v>
      </c>
      <c r="H2" s="8" t="str">
        <f aca="false">IF(ABS(F2+G2-1)&lt;0.001,"OK","Malco + capital M ≠ 1")</f>
        <v>OK</v>
      </c>
    </row>
    <row r="3" customFormat="false" ht="15" hidden="false" customHeight="false" outlineLevel="0" collapsed="false">
      <c r="A3" s="5" t="n">
        <v>2</v>
      </c>
      <c r="B3" s="5" t="s">
        <v>89</v>
      </c>
      <c r="C3" s="5" t="s">
        <v>90</v>
      </c>
      <c r="D3" s="5" t="s">
        <v>87</v>
      </c>
      <c r="E3" s="5" t="s">
        <v>88</v>
      </c>
      <c r="F3" s="7" t="n">
        <v>1</v>
      </c>
      <c r="G3" s="7" t="n">
        <v>0</v>
      </c>
      <c r="H3" s="8" t="str">
        <f aca="false">IF(ABS(F3+G3-1)&lt;0.001,"OK","Malco + capital M ≠ 1")</f>
        <v>OK</v>
      </c>
    </row>
    <row r="4" customFormat="false" ht="15" hidden="false" customHeight="false" outlineLevel="0" collapsed="false">
      <c r="A4" s="5" t="n">
        <v>3</v>
      </c>
      <c r="B4" s="5" t="s">
        <v>91</v>
      </c>
      <c r="C4" s="5" t="s">
        <v>92</v>
      </c>
      <c r="D4" s="5" t="s">
        <v>87</v>
      </c>
      <c r="E4" s="5" t="s">
        <v>88</v>
      </c>
      <c r="F4" s="7" t="n">
        <v>1</v>
      </c>
      <c r="G4" s="7" t="n">
        <v>0</v>
      </c>
      <c r="H4" s="8" t="str">
        <f aca="false">IF(ABS(F4+G4-1)&lt;0.001,"OK","Malco + capital M ≠ 1")</f>
        <v>OK</v>
      </c>
    </row>
    <row r="5" customFormat="false" ht="15" hidden="false" customHeight="false" outlineLevel="0" collapsed="false">
      <c r="A5" s="5" t="n">
        <v>4</v>
      </c>
      <c r="B5" s="5" t="s">
        <v>93</v>
      </c>
      <c r="C5" s="5" t="s">
        <v>94</v>
      </c>
      <c r="D5" s="5" t="s">
        <v>87</v>
      </c>
      <c r="E5" s="5" t="s">
        <v>88</v>
      </c>
      <c r="F5" s="7" t="n">
        <v>1</v>
      </c>
      <c r="G5" s="7" t="n">
        <v>0</v>
      </c>
      <c r="H5" s="8" t="str">
        <f aca="false">IF(ABS(F5+G5-1)&lt;0.001,"OK","Malco + capital M ≠ 1")</f>
        <v>OK</v>
      </c>
    </row>
    <row r="6" customFormat="false" ht="15" hidden="false" customHeight="false" outlineLevel="0" collapsed="false">
      <c r="A6" s="5" t="n">
        <v>5</v>
      </c>
      <c r="B6" s="5" t="s">
        <v>95</v>
      </c>
      <c r="C6" s="5" t="s">
        <v>96</v>
      </c>
      <c r="D6" s="5" t="s">
        <v>87</v>
      </c>
      <c r="E6" s="5" t="s">
        <v>88</v>
      </c>
      <c r="F6" s="7" t="n">
        <v>1</v>
      </c>
      <c r="G6" s="7" t="n">
        <v>0</v>
      </c>
      <c r="H6" s="8" t="str">
        <f aca="false">IF(ABS(F6+G6-1)&lt;0.001,"OK","Malco + capital M ≠ 1")</f>
        <v>OK</v>
      </c>
    </row>
    <row r="7" customFormat="false" ht="15" hidden="false" customHeight="false" outlineLevel="0" collapsed="false">
      <c r="A7" s="5" t="n">
        <v>6</v>
      </c>
      <c r="B7" s="5" t="s">
        <v>97</v>
      </c>
      <c r="C7" s="5" t="s">
        <v>98</v>
      </c>
      <c r="D7" s="5" t="s">
        <v>87</v>
      </c>
      <c r="E7" s="5" t="s">
        <v>88</v>
      </c>
      <c r="F7" s="7" t="n">
        <v>1</v>
      </c>
      <c r="G7" s="7" t="n">
        <v>0</v>
      </c>
      <c r="H7" s="8" t="str">
        <f aca="false">IF(ABS(F7+G7-1)&lt;0.001,"OK","Malco + capital M ≠ 1")</f>
        <v>OK</v>
      </c>
    </row>
    <row r="8" customFormat="false" ht="15" hidden="false" customHeight="false" outlineLevel="0" collapsed="false">
      <c r="A8" s="5" t="n">
        <v>7</v>
      </c>
      <c r="B8" s="5" t="s">
        <v>99</v>
      </c>
      <c r="C8" s="5" t="s">
        <v>100</v>
      </c>
      <c r="D8" s="5" t="s">
        <v>87</v>
      </c>
      <c r="E8" s="5" t="s">
        <v>88</v>
      </c>
      <c r="F8" s="7" t="n">
        <v>1</v>
      </c>
      <c r="G8" s="7" t="n">
        <v>0</v>
      </c>
      <c r="H8" s="8" t="str">
        <f aca="false">IF(ABS(F8+G8-1)&lt;0.001,"OK","Malco + capital M ≠ 1")</f>
        <v>OK</v>
      </c>
    </row>
    <row r="9" customFormat="false" ht="15" hidden="false" customHeight="false" outlineLevel="0" collapsed="false">
      <c r="A9" s="5" t="n">
        <v>8</v>
      </c>
      <c r="B9" s="5" t="s">
        <v>101</v>
      </c>
      <c r="C9" s="5" t="s">
        <v>102</v>
      </c>
      <c r="D9" s="5" t="s">
        <v>87</v>
      </c>
      <c r="E9" s="5" t="s">
        <v>88</v>
      </c>
      <c r="F9" s="7" t="n">
        <v>1</v>
      </c>
      <c r="G9" s="7" t="n">
        <v>0</v>
      </c>
      <c r="H9" s="8" t="str">
        <f aca="false">IF(ABS(F9+G9-1)&lt;0.001,"OK","Malco + capital M ≠ 1")</f>
        <v>OK</v>
      </c>
    </row>
    <row r="10" customFormat="false" ht="15" hidden="false" customHeight="false" outlineLevel="0" collapsed="false">
      <c r="A10" s="5" t="n">
        <v>9</v>
      </c>
      <c r="B10" s="5" t="s">
        <v>103</v>
      </c>
      <c r="C10" s="5" t="s">
        <v>88</v>
      </c>
      <c r="D10" s="5" t="s">
        <v>87</v>
      </c>
      <c r="E10" s="5" t="s">
        <v>88</v>
      </c>
      <c r="F10" s="7" t="n">
        <v>1</v>
      </c>
      <c r="G10" s="7" t="n">
        <v>0</v>
      </c>
      <c r="H10" s="8" t="str">
        <f aca="false">IF(ABS(F10+G10-1)&lt;0.001,"OK","Malco + capital M ≠ 1")</f>
        <v>OK</v>
      </c>
    </row>
    <row r="11" customFormat="false" ht="15" hidden="false" customHeight="false" outlineLevel="0" collapsed="false">
      <c r="A11" s="5" t="n">
        <v>10</v>
      </c>
      <c r="B11" s="5" t="s">
        <v>104</v>
      </c>
      <c r="C11" s="5" t="s">
        <v>105</v>
      </c>
      <c r="D11" s="5" t="s">
        <v>87</v>
      </c>
      <c r="E11" s="5" t="s">
        <v>88</v>
      </c>
      <c r="F11" s="7" t="n">
        <v>1</v>
      </c>
      <c r="G11" s="7" t="n">
        <v>0</v>
      </c>
      <c r="H11" s="8" t="str">
        <f aca="false">IF(ABS(F11+G11-1)&lt;0.001,"OK","Malco + capital M ≠ 1")</f>
        <v>OK</v>
      </c>
    </row>
    <row r="12" customFormat="false" ht="15" hidden="false" customHeight="false" outlineLevel="0" collapsed="false">
      <c r="A12" s="5" t="n">
        <v>11</v>
      </c>
      <c r="B12" s="5" t="s">
        <v>106</v>
      </c>
      <c r="C12" s="5" t="s">
        <v>107</v>
      </c>
      <c r="D12" s="5" t="s">
        <v>87</v>
      </c>
      <c r="E12" s="5" t="s">
        <v>88</v>
      </c>
      <c r="F12" s="7" t="n">
        <v>1</v>
      </c>
      <c r="G12" s="7" t="n">
        <v>0</v>
      </c>
      <c r="H12" s="8" t="str">
        <f aca="false">IF(ABS(F12+G12-1)&lt;0.001,"OK","Malco + capital M ≠ 1")</f>
        <v>OK</v>
      </c>
    </row>
    <row r="13" customFormat="false" ht="15" hidden="false" customHeight="false" outlineLevel="0" collapsed="false">
      <c r="A13" s="5" t="n">
        <v>12</v>
      </c>
      <c r="B13" s="5" t="s">
        <v>108</v>
      </c>
      <c r="C13" s="5" t="s">
        <v>109</v>
      </c>
      <c r="D13" s="5" t="s">
        <v>87</v>
      </c>
      <c r="E13" s="5" t="s">
        <v>88</v>
      </c>
      <c r="F13" s="7" t="n">
        <v>1</v>
      </c>
      <c r="G13" s="7" t="n">
        <v>0</v>
      </c>
      <c r="H13" s="8" t="str">
        <f aca="false">IF(ABS(F13+G13-1)&lt;0.001,"OK","Malco + capital M ≠ 1")</f>
        <v>OK</v>
      </c>
    </row>
    <row r="14" customFormat="false" ht="15" hidden="false" customHeight="false" outlineLevel="0" collapsed="false">
      <c r="A14" s="5" t="n">
        <v>13</v>
      </c>
      <c r="B14" s="5" t="s">
        <v>110</v>
      </c>
      <c r="C14" s="5" t="s">
        <v>111</v>
      </c>
      <c r="D14" s="5" t="s">
        <v>87</v>
      </c>
      <c r="E14" s="5" t="s">
        <v>88</v>
      </c>
      <c r="F14" s="7" t="n">
        <v>1</v>
      </c>
      <c r="G14" s="7" t="n">
        <v>0</v>
      </c>
      <c r="H14" s="8" t="str">
        <f aca="false">IF(ABS(F14+G14-1)&lt;0.001,"OK","Malco + capital M ≠ 1")</f>
        <v>OK</v>
      </c>
    </row>
    <row r="15" customFormat="false" ht="15" hidden="false" customHeight="false" outlineLevel="0" collapsed="false">
      <c r="A15" s="5" t="n">
        <v>14</v>
      </c>
      <c r="B15" s="5" t="s">
        <v>112</v>
      </c>
      <c r="C15" s="5" t="s">
        <v>113</v>
      </c>
      <c r="D15" s="5" t="s">
        <v>87</v>
      </c>
      <c r="E15" s="5" t="s">
        <v>88</v>
      </c>
      <c r="F15" s="7" t="n">
        <v>1</v>
      </c>
      <c r="G15" s="7" t="n">
        <v>0</v>
      </c>
      <c r="H15" s="8" t="str">
        <f aca="false">IF(ABS(F15+G15-1)&lt;0.001,"OK","Malco + capital M ≠ 1")</f>
        <v>OK</v>
      </c>
    </row>
    <row r="16" customFormat="false" ht="15" hidden="false" customHeight="false" outlineLevel="0" collapsed="false">
      <c r="A16" s="5" t="n">
        <v>15</v>
      </c>
      <c r="B16" s="5" t="s">
        <v>114</v>
      </c>
      <c r="C16" s="5" t="s">
        <v>115</v>
      </c>
      <c r="D16" s="5" t="s">
        <v>87</v>
      </c>
      <c r="E16" s="5" t="s">
        <v>88</v>
      </c>
      <c r="F16" s="7" t="n">
        <v>1</v>
      </c>
      <c r="G16" s="7" t="n">
        <v>0</v>
      </c>
      <c r="H16" s="8" t="str">
        <f aca="false">IF(ABS(F16+G16-1)&lt;0.001,"OK","Malco + capital M ≠ 1")</f>
        <v>OK</v>
      </c>
    </row>
    <row r="17" customFormat="false" ht="15" hidden="false" customHeight="false" outlineLevel="0" collapsed="false">
      <c r="A17" s="5" t="n">
        <v>16</v>
      </c>
      <c r="B17" s="5" t="s">
        <v>116</v>
      </c>
      <c r="C17" s="5" t="s">
        <v>117</v>
      </c>
      <c r="D17" s="5" t="s">
        <v>87</v>
      </c>
      <c r="E17" s="5" t="s">
        <v>88</v>
      </c>
      <c r="F17" s="7" t="n">
        <v>1</v>
      </c>
      <c r="G17" s="7" t="n">
        <v>0</v>
      </c>
      <c r="H17" s="8" t="str">
        <f aca="false">IF(ABS(F17+G17-1)&lt;0.001,"OK","Malco + capital M ≠ 1")</f>
        <v>OK</v>
      </c>
    </row>
    <row r="18" customFormat="false" ht="15" hidden="false" customHeight="false" outlineLevel="0" collapsed="false">
      <c r="A18" s="5" t="n">
        <v>17</v>
      </c>
      <c r="B18" s="5" t="s">
        <v>118</v>
      </c>
      <c r="C18" s="5" t="s">
        <v>119</v>
      </c>
      <c r="D18" s="5" t="s">
        <v>87</v>
      </c>
      <c r="E18" s="5" t="s">
        <v>88</v>
      </c>
      <c r="F18" s="7" t="n">
        <v>1</v>
      </c>
      <c r="G18" s="7" t="n">
        <v>0</v>
      </c>
      <c r="H18" s="8" t="str">
        <f aca="false">IF(ABS(F18+G18-1)&lt;0.001,"OK","Malco + capital M ≠ 1")</f>
        <v>OK</v>
      </c>
    </row>
    <row r="19" customFormat="false" ht="15" hidden="false" customHeight="false" outlineLevel="0" collapsed="false">
      <c r="A19" s="5" t="n">
        <v>18</v>
      </c>
      <c r="B19" s="5" t="s">
        <v>24</v>
      </c>
      <c r="C19" s="5" t="s">
        <v>23</v>
      </c>
      <c r="D19" s="5" t="s">
        <v>87</v>
      </c>
      <c r="E19" s="5" t="s">
        <v>88</v>
      </c>
      <c r="F19" s="7" t="n">
        <v>0.61</v>
      </c>
      <c r="G19" s="7" t="n">
        <v>0.39</v>
      </c>
      <c r="H19" s="8" t="str">
        <f aca="false">IF(ABS(F19+G19-1)&lt;0.001,"OK","Malco + capital M ≠ 1")</f>
        <v>OK</v>
      </c>
    </row>
    <row r="20" customFormat="false" ht="15" hidden="false" customHeight="false" outlineLevel="0" collapsed="false">
      <c r="A20" s="5" t="n">
        <v>19</v>
      </c>
      <c r="B20" s="5" t="s">
        <v>120</v>
      </c>
      <c r="C20" s="5" t="s">
        <v>121</v>
      </c>
      <c r="D20" s="5" t="s">
        <v>87</v>
      </c>
      <c r="E20" s="5" t="s">
        <v>88</v>
      </c>
      <c r="F20" s="7" t="n">
        <v>1</v>
      </c>
      <c r="G20" s="7" t="n">
        <v>0</v>
      </c>
      <c r="H20" s="8" t="str">
        <f aca="false">IF(ABS(F20+G20-1)&lt;0.001,"OK","Malco + capital M ≠ 1")</f>
        <v>OK</v>
      </c>
    </row>
    <row r="21" customFormat="false" ht="15" hidden="false" customHeight="false" outlineLevel="0" collapsed="false">
      <c r="A21" s="5" t="n">
        <v>20</v>
      </c>
      <c r="B21" s="5" t="s">
        <v>122</v>
      </c>
      <c r="C21" s="5" t="s">
        <v>123</v>
      </c>
      <c r="D21" s="5" t="s">
        <v>87</v>
      </c>
      <c r="E21" s="5" t="s">
        <v>88</v>
      </c>
      <c r="F21" s="7" t="n">
        <v>1</v>
      </c>
      <c r="G21" s="7" t="n">
        <v>0</v>
      </c>
      <c r="H21" s="8" t="str">
        <f aca="false">IF(ABS(F21+G21-1)&lt;0.001,"OK","Malco + capital M ≠ 1")</f>
        <v>OK</v>
      </c>
    </row>
    <row r="22" customFormat="false" ht="15" hidden="false" customHeight="false" outlineLevel="0" collapsed="false">
      <c r="A22" s="5" t="n">
        <v>21</v>
      </c>
      <c r="B22" s="5" t="s">
        <v>124</v>
      </c>
      <c r="C22" s="5" t="s">
        <v>125</v>
      </c>
      <c r="D22" s="5" t="s">
        <v>87</v>
      </c>
      <c r="E22" s="5" t="s">
        <v>88</v>
      </c>
      <c r="F22" s="7" t="n">
        <v>1</v>
      </c>
      <c r="G22" s="7" t="n">
        <v>0</v>
      </c>
      <c r="H22" s="8" t="str">
        <f aca="false">IF(ABS(F22+G22-1)&lt;0.001,"OK","Malco + capital M ≠ 1")</f>
        <v>OK</v>
      </c>
    </row>
    <row r="23" customFormat="false" ht="15" hidden="false" customHeight="false" outlineLevel="0" collapsed="false">
      <c r="A23" s="5" t="n">
        <v>22</v>
      </c>
      <c r="B23" s="5" t="s">
        <v>126</v>
      </c>
      <c r="C23" s="5" t="s">
        <v>127</v>
      </c>
      <c r="D23" s="5" t="s">
        <v>87</v>
      </c>
      <c r="E23" s="5" t="s">
        <v>88</v>
      </c>
      <c r="F23" s="7" t="n">
        <v>1</v>
      </c>
      <c r="G23" s="7" t="n">
        <v>0</v>
      </c>
      <c r="H23" s="8" t="str">
        <f aca="false">IF(ABS(F23+G23-1)&lt;0.001,"OK","Malco + capital M ≠ 1")</f>
        <v>OK</v>
      </c>
    </row>
    <row r="24" customFormat="false" ht="15" hidden="false" customHeight="false" outlineLevel="0" collapsed="false">
      <c r="A24" s="5" t="n">
        <v>23</v>
      </c>
      <c r="B24" s="5" t="s">
        <v>128</v>
      </c>
      <c r="C24" s="5" t="s">
        <v>129</v>
      </c>
      <c r="D24" s="5" t="s">
        <v>87</v>
      </c>
      <c r="E24" s="5" t="s">
        <v>88</v>
      </c>
      <c r="F24" s="7" t="n">
        <v>1</v>
      </c>
      <c r="G24" s="7" t="n">
        <v>0</v>
      </c>
      <c r="H24" s="8" t="str">
        <f aca="false">IF(ABS(F24+G24-1)&lt;0.001,"OK","Malco + capital M ≠ 1")</f>
        <v>OK</v>
      </c>
    </row>
    <row r="25" customFormat="false" ht="15" hidden="false" customHeight="false" outlineLevel="0" collapsed="false">
      <c r="A25" s="5" t="n">
        <v>24</v>
      </c>
      <c r="B25" s="5" t="s">
        <v>130</v>
      </c>
      <c r="C25" s="5" t="s">
        <v>131</v>
      </c>
      <c r="D25" s="5" t="s">
        <v>87</v>
      </c>
      <c r="E25" s="5" t="s">
        <v>132</v>
      </c>
      <c r="F25" s="7" t="n">
        <v>0.0416666667</v>
      </c>
      <c r="G25" s="7" t="n">
        <v>0.9583333333</v>
      </c>
      <c r="H25" s="8" t="str">
        <f aca="false">IF(ABS(F25+G25-1)&lt;0.001,"OK","Malco + capital M ≠ 1")</f>
        <v>OK</v>
      </c>
    </row>
    <row r="26" customFormat="false" ht="15" hidden="false" customHeight="false" outlineLevel="0" collapsed="false">
      <c r="A26" s="5" t="n">
        <v>25</v>
      </c>
      <c r="B26" s="5" t="s">
        <v>133</v>
      </c>
      <c r="C26" s="5" t="s">
        <v>134</v>
      </c>
      <c r="D26" s="5" t="s">
        <v>87</v>
      </c>
      <c r="E26" s="5" t="s">
        <v>135</v>
      </c>
      <c r="F26" s="7" t="n">
        <v>0.7000002814</v>
      </c>
      <c r="G26" s="7" t="n">
        <v>0.2999997186</v>
      </c>
      <c r="H26" s="8" t="str">
        <f aca="false">IF(ABS(F26+G26-1)&lt;0.001,"OK","Malco + capital M ≠ 1")</f>
        <v>OK</v>
      </c>
    </row>
    <row r="27" customFormat="false" ht="15" hidden="false" customHeight="false" outlineLevel="0" collapsed="false">
      <c r="A27" s="5" t="n">
        <v>26</v>
      </c>
      <c r="B27" s="5" t="s">
        <v>136</v>
      </c>
      <c r="C27" s="5" t="s">
        <v>137</v>
      </c>
      <c r="D27" s="5" t="s">
        <v>87</v>
      </c>
      <c r="E27" s="5" t="s">
        <v>135</v>
      </c>
      <c r="F27" s="7" t="n">
        <v>0.3007246377</v>
      </c>
      <c r="G27" s="7" t="n">
        <v>0.6992753623</v>
      </c>
      <c r="H27" s="8" t="str">
        <f aca="false">IF(ABS(F27+G27-1)&lt;0.001,"OK","Malco + capital M ≠ 1")</f>
        <v>OK</v>
      </c>
    </row>
    <row r="28" customFormat="false" ht="15" hidden="false" customHeight="false" outlineLevel="0" collapsed="false">
      <c r="A28" s="5" t="n">
        <v>27</v>
      </c>
      <c r="B28" s="5" t="s">
        <v>138</v>
      </c>
      <c r="C28" s="5" t="s">
        <v>139</v>
      </c>
      <c r="D28" s="5" t="s">
        <v>87</v>
      </c>
      <c r="E28" s="5" t="s">
        <v>135</v>
      </c>
      <c r="F28" s="7" t="n">
        <v>0.999999857</v>
      </c>
      <c r="G28" s="7" t="n">
        <v>1.43E-007</v>
      </c>
      <c r="H28" s="8" t="str">
        <f aca="false">IF(ABS(F28+G28-1)&lt;0.001,"OK","Malco + capital M ≠ 1")</f>
        <v>OK</v>
      </c>
    </row>
    <row r="29" customFormat="false" ht="15" hidden="false" customHeight="false" outlineLevel="0" collapsed="false">
      <c r="A29" s="5" t="n">
        <v>28</v>
      </c>
      <c r="B29" s="5" t="s">
        <v>140</v>
      </c>
      <c r="C29" s="5" t="s">
        <v>141</v>
      </c>
      <c r="D29" s="5" t="s">
        <v>87</v>
      </c>
      <c r="E29" s="5" t="s">
        <v>135</v>
      </c>
      <c r="F29" s="7" t="n">
        <v>0.281087113</v>
      </c>
      <c r="G29" s="7" t="n">
        <v>0.718912887</v>
      </c>
      <c r="H29" s="8" t="str">
        <f aca="false">IF(ABS(F29+G29-1)&lt;0.001,"OK","Malco + capital M ≠ 1")</f>
        <v>OK</v>
      </c>
    </row>
    <row r="30" customFormat="false" ht="15" hidden="false" customHeight="false" outlineLevel="0" collapsed="false">
      <c r="A30" s="5" t="n">
        <v>29</v>
      </c>
      <c r="B30" s="5" t="s">
        <v>142</v>
      </c>
      <c r="C30" s="5" t="s">
        <v>143</v>
      </c>
      <c r="D30" s="5" t="s">
        <v>87</v>
      </c>
      <c r="E30" s="5" t="s">
        <v>135</v>
      </c>
      <c r="F30" s="7" t="n">
        <v>0.8184782609</v>
      </c>
      <c r="G30" s="7" t="n">
        <v>0.1815217391</v>
      </c>
      <c r="H30" s="8" t="str">
        <f aca="false">IF(ABS(F30+G30-1)&lt;0.001,"OK","Malco + capital M ≠ 1")</f>
        <v>OK</v>
      </c>
    </row>
    <row r="31" customFormat="false" ht="15" hidden="false" customHeight="false" outlineLevel="0" collapsed="false">
      <c r="A31" s="5" t="n">
        <v>30</v>
      </c>
      <c r="B31" s="5" t="s">
        <v>144</v>
      </c>
      <c r="C31" s="5" t="s">
        <v>145</v>
      </c>
      <c r="D31" s="5" t="s">
        <v>87</v>
      </c>
      <c r="E31" s="5" t="s">
        <v>135</v>
      </c>
      <c r="F31" s="7" t="n">
        <v>0.7097826087</v>
      </c>
      <c r="G31" s="7" t="n">
        <v>0.2902173913</v>
      </c>
      <c r="H31" s="8" t="str">
        <f aca="false">IF(ABS(F31+G31-1)&lt;0.001,"OK","Malco + capital M ≠ 1")</f>
        <v>OK</v>
      </c>
    </row>
    <row r="32" customFormat="false" ht="15" hidden="false" customHeight="false" outlineLevel="0" collapsed="false">
      <c r="A32" s="5" t="n">
        <v>31</v>
      </c>
      <c r="B32" s="5" t="s">
        <v>146</v>
      </c>
      <c r="C32" s="5" t="s">
        <v>147</v>
      </c>
      <c r="D32" s="5" t="s">
        <v>87</v>
      </c>
      <c r="E32" s="5" t="s">
        <v>135</v>
      </c>
      <c r="F32" s="7" t="n">
        <v>0.6913043478</v>
      </c>
      <c r="G32" s="7" t="n">
        <v>0.3086956522</v>
      </c>
      <c r="H32" s="8" t="str">
        <f aca="false">IF(ABS(F32+G32-1)&lt;0.001,"OK","Malco + capital M ≠ 1")</f>
        <v>OK</v>
      </c>
    </row>
    <row r="33" customFormat="false" ht="15" hidden="false" customHeight="false" outlineLevel="0" collapsed="false">
      <c r="A33" s="5" t="n">
        <v>32</v>
      </c>
      <c r="B33" s="5" t="s">
        <v>148</v>
      </c>
      <c r="C33" s="5" t="s">
        <v>149</v>
      </c>
      <c r="D33" s="5" t="s">
        <v>87</v>
      </c>
      <c r="E33" s="5" t="s">
        <v>135</v>
      </c>
      <c r="F33" s="7" t="n">
        <v>0.8565217391</v>
      </c>
      <c r="G33" s="7" t="n">
        <v>0.1434782609</v>
      </c>
      <c r="H33" s="8" t="str">
        <f aca="false">IF(ABS(F33+G33-1)&lt;0.001,"OK","Malco + capital M ≠ 1")</f>
        <v>OK</v>
      </c>
    </row>
    <row r="34" customFormat="false" ht="15" hidden="false" customHeight="false" outlineLevel="0" collapsed="false">
      <c r="A34" s="5" t="n">
        <v>33</v>
      </c>
      <c r="B34" s="5" t="s">
        <v>150</v>
      </c>
      <c r="C34" s="5" t="s">
        <v>151</v>
      </c>
      <c r="D34" s="5" t="s">
        <v>87</v>
      </c>
      <c r="E34" s="5" t="s">
        <v>135</v>
      </c>
      <c r="F34" s="7" t="n">
        <v>0.4016599864</v>
      </c>
      <c r="G34" s="7" t="n">
        <v>0.5983400136</v>
      </c>
      <c r="H34" s="8" t="str">
        <f aca="false">IF(ABS(F34+G34-1)&lt;0.001,"OK","Malco + capital M ≠ 1")</f>
        <v>OK</v>
      </c>
    </row>
    <row r="35" customFormat="false" ht="15" hidden="false" customHeight="false" outlineLevel="0" collapsed="false">
      <c r="A35" s="5" t="n">
        <v>34</v>
      </c>
      <c r="B35" s="5" t="s">
        <v>152</v>
      </c>
      <c r="C35" s="5" t="s">
        <v>153</v>
      </c>
      <c r="D35" s="5" t="s">
        <v>87</v>
      </c>
      <c r="E35" s="5" t="s">
        <v>135</v>
      </c>
      <c r="F35" s="7" t="n">
        <v>0.5</v>
      </c>
      <c r="G35" s="7" t="n">
        <v>0.5</v>
      </c>
      <c r="H35" s="8" t="str">
        <f aca="false">IF(ABS(F35+G35-1)&lt;0.001,"OK","Malco + capital M ≠ 1")</f>
        <v>OK</v>
      </c>
    </row>
    <row r="36" customFormat="false" ht="15" hidden="false" customHeight="false" outlineLevel="0" collapsed="false">
      <c r="A36" s="5" t="n">
        <v>35</v>
      </c>
      <c r="B36" s="5" t="s">
        <v>154</v>
      </c>
      <c r="C36" s="5" t="s">
        <v>155</v>
      </c>
      <c r="D36" s="5" t="s">
        <v>87</v>
      </c>
      <c r="E36" s="5" t="s">
        <v>135</v>
      </c>
      <c r="F36" s="7" t="n">
        <v>1</v>
      </c>
      <c r="G36" s="7" t="n">
        <v>0</v>
      </c>
      <c r="H36" s="8" t="str">
        <f aca="false">IF(ABS(F36+G36-1)&lt;0.001,"OK","Malco + capital M ≠ 1")</f>
        <v>OK</v>
      </c>
    </row>
    <row r="37" customFormat="false" ht="15" hidden="false" customHeight="false" outlineLevel="0" collapsed="false">
      <c r="A37" s="5" t="n">
        <v>36</v>
      </c>
      <c r="B37" s="5" t="s">
        <v>156</v>
      </c>
      <c r="C37" s="5" t="s">
        <v>157</v>
      </c>
      <c r="D37" s="5" t="s">
        <v>87</v>
      </c>
      <c r="E37" s="5" t="s">
        <v>158</v>
      </c>
      <c r="F37" s="7" t="n">
        <v>1</v>
      </c>
      <c r="G37" s="7" t="n">
        <v>0</v>
      </c>
      <c r="H37" s="8" t="str">
        <f aca="false">IF(ABS(F37+G37-1)&lt;0.001,"OK","Malco + capital M ≠ 1")</f>
        <v>OK</v>
      </c>
    </row>
    <row r="38" customFormat="false" ht="15" hidden="false" customHeight="false" outlineLevel="0" collapsed="false">
      <c r="A38" s="5" t="n">
        <v>37</v>
      </c>
      <c r="B38" s="5" t="s">
        <v>159</v>
      </c>
      <c r="C38" s="5" t="s">
        <v>160</v>
      </c>
      <c r="D38" s="5" t="s">
        <v>87</v>
      </c>
      <c r="E38" s="5" t="s">
        <v>158</v>
      </c>
      <c r="F38" s="7" t="n">
        <v>0.0533195164</v>
      </c>
      <c r="G38" s="7" t="n">
        <v>0.9466804836</v>
      </c>
      <c r="H38" s="8" t="str">
        <f aca="false">IF(ABS(F38+G38-1)&lt;0.001,"OK","Malco + capital M ≠ 1")</f>
        <v>OK</v>
      </c>
    </row>
    <row r="39" customFormat="false" ht="15" hidden="false" customHeight="false" outlineLevel="0" collapsed="false">
      <c r="A39" s="5" t="n">
        <v>38</v>
      </c>
      <c r="B39" s="5" t="s">
        <v>161</v>
      </c>
      <c r="C39" s="5" t="s">
        <v>162</v>
      </c>
      <c r="D39" s="5" t="s">
        <v>87</v>
      </c>
      <c r="E39" s="5" t="s">
        <v>163</v>
      </c>
      <c r="F39" s="7" t="n">
        <v>0</v>
      </c>
      <c r="G39" s="7" t="n">
        <v>1</v>
      </c>
      <c r="H39" s="8" t="str">
        <f aca="false">IF(ABS(F39+G39-1)&lt;0.001,"OK","Malco + capital M ≠ 1")</f>
        <v>OK</v>
      </c>
    </row>
    <row r="40" customFormat="false" ht="15" hidden="false" customHeight="false" outlineLevel="0" collapsed="false">
      <c r="A40" s="5" t="n">
        <v>39</v>
      </c>
      <c r="B40" s="5" t="s">
        <v>164</v>
      </c>
      <c r="C40" s="5" t="s">
        <v>165</v>
      </c>
      <c r="D40" s="5" t="s">
        <v>87</v>
      </c>
      <c r="E40" s="5" t="s">
        <v>166</v>
      </c>
      <c r="F40" s="7" t="n">
        <v>0.3629227053</v>
      </c>
      <c r="G40" s="7" t="n">
        <v>0.6370772947</v>
      </c>
      <c r="H40" s="8" t="str">
        <f aca="false">IF(ABS(F40+G40-1)&lt;0.001,"OK","Malco + capital M ≠ 1")</f>
        <v>OK</v>
      </c>
    </row>
    <row r="41" customFormat="false" ht="15" hidden="false" customHeight="false" outlineLevel="0" collapsed="false">
      <c r="A41" s="5" t="n">
        <v>40</v>
      </c>
      <c r="B41" s="5" t="s">
        <v>167</v>
      </c>
      <c r="C41" s="5" t="s">
        <v>168</v>
      </c>
      <c r="D41" s="5" t="s">
        <v>87</v>
      </c>
      <c r="E41" s="5" t="s">
        <v>169</v>
      </c>
      <c r="F41" s="7" t="n">
        <v>0.5124194376</v>
      </c>
      <c r="G41" s="7" t="n">
        <v>0.4875805624</v>
      </c>
      <c r="H41" s="8" t="str">
        <f aca="false">IF(ABS(F41+G41-1)&lt;0.001,"OK","Malco + capital M ≠ 1")</f>
        <v>OK</v>
      </c>
    </row>
    <row r="42" customFormat="false" ht="15" hidden="false" customHeight="false" outlineLevel="0" collapsed="false">
      <c r="A42" s="5" t="n">
        <v>41</v>
      </c>
      <c r="B42" s="5" t="s">
        <v>170</v>
      </c>
      <c r="C42" s="5" t="s">
        <v>171</v>
      </c>
      <c r="D42" s="5" t="s">
        <v>87</v>
      </c>
      <c r="E42" s="5" t="s">
        <v>170</v>
      </c>
      <c r="F42" s="7" t="n">
        <v>0.5006793478</v>
      </c>
      <c r="G42" s="7" t="n">
        <v>0.4993206522</v>
      </c>
      <c r="H42" s="8" t="str">
        <f aca="false">IF(ABS(F42+G42-1)&lt;0.001,"OK","Malco + capital M ≠ 1")</f>
        <v>OK</v>
      </c>
    </row>
    <row r="43" customFormat="false" ht="15" hidden="false" customHeight="false" outlineLevel="0" collapsed="false">
      <c r="A43" s="5" t="n">
        <v>42</v>
      </c>
      <c r="B43" s="5" t="s">
        <v>172</v>
      </c>
      <c r="C43" s="5" t="s">
        <v>173</v>
      </c>
      <c r="D43" s="5" t="s">
        <v>87</v>
      </c>
      <c r="E43" s="5" t="s">
        <v>174</v>
      </c>
      <c r="F43" s="7" t="n">
        <v>1</v>
      </c>
      <c r="G43" s="7" t="n">
        <v>0</v>
      </c>
      <c r="H43" s="8" t="str">
        <f aca="false">IF(ABS(F43+G43-1)&lt;0.001,"OK","Malco + capital M ≠ 1")</f>
        <v>OK</v>
      </c>
    </row>
    <row r="44" customFormat="false" ht="15" hidden="false" customHeight="false" outlineLevel="0" collapsed="false">
      <c r="A44" s="5" t="n">
        <v>43</v>
      </c>
      <c r="B44" s="5" t="s">
        <v>175</v>
      </c>
      <c r="C44" s="5" t="s">
        <v>176</v>
      </c>
      <c r="D44" s="5" t="s">
        <v>87</v>
      </c>
      <c r="E44" s="5" t="s">
        <v>177</v>
      </c>
      <c r="F44" s="7" t="n">
        <v>1</v>
      </c>
      <c r="G44" s="7" t="n">
        <v>0</v>
      </c>
      <c r="H44" s="8" t="str">
        <f aca="false">IF(ABS(F44+G44-1)&lt;0.001,"OK","Malco + capital M ≠ 1")</f>
        <v>OK</v>
      </c>
    </row>
    <row r="45" customFormat="false" ht="15" hidden="false" customHeight="false" outlineLevel="0" collapsed="false">
      <c r="A45" s="5" t="n">
        <v>44</v>
      </c>
      <c r="B45" s="5" t="s">
        <v>178</v>
      </c>
      <c r="C45" s="5" t="s">
        <v>179</v>
      </c>
      <c r="D45" s="5" t="s">
        <v>87</v>
      </c>
      <c r="E45" s="5" t="s">
        <v>180</v>
      </c>
      <c r="F45" s="7" t="n">
        <v>1</v>
      </c>
      <c r="G45" s="7" t="n">
        <v>0</v>
      </c>
      <c r="H45" s="8" t="str">
        <f aca="false">IF(ABS(F45+G45-1)&lt;0.001,"OK","Malco + capital M ≠ 1")</f>
        <v>OK</v>
      </c>
    </row>
    <row r="46" customFormat="false" ht="15" hidden="false" customHeight="false" outlineLevel="0" collapsed="false">
      <c r="A46" s="5" t="n">
        <v>45</v>
      </c>
      <c r="B46" s="5" t="s">
        <v>181</v>
      </c>
      <c r="C46" s="5" t="s">
        <v>182</v>
      </c>
      <c r="D46" s="5" t="s">
        <v>87</v>
      </c>
      <c r="E46" s="5" t="s">
        <v>180</v>
      </c>
      <c r="F46" s="7" t="n">
        <v>1</v>
      </c>
      <c r="G46" s="7" t="n">
        <v>0</v>
      </c>
      <c r="H46" s="8" t="str">
        <f aca="false">IF(ABS(F46+G46-1)&lt;0.001,"OK","Malco + capital M ≠ 1")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4" min="3" style="0" width="15"/>
    <col collapsed="false" customWidth="true" hidden="false" outlineLevel="0" max="5" min="5" style="0" width="20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4" t="s">
        <v>18</v>
      </c>
      <c r="B1" s="4" t="s">
        <v>183</v>
      </c>
      <c r="C1" s="4" t="s">
        <v>184</v>
      </c>
      <c r="D1" s="4" t="s">
        <v>185</v>
      </c>
      <c r="E1" s="4" t="s">
        <v>186</v>
      </c>
      <c r="F1" s="4" t="s">
        <v>187</v>
      </c>
    </row>
    <row r="2" customFormat="false" ht="15" hidden="false" customHeight="false" outlineLevel="0" collapsed="false">
      <c r="A2" s="9" t="str">
        <f aca="false">'Holdings split'!C19</f>
        <v>M00131794562</v>
      </c>
      <c r="B2" s="9" t="str">
        <f aca="false">'Holdings split'!B19</f>
        <v>2019 US Industrial &amp; Logistics Portfolio</v>
      </c>
      <c r="C2" s="10" t="n">
        <f aca="false">'Holdings split'!G19</f>
        <v>0.39</v>
      </c>
      <c r="D2" s="8" t="n">
        <f aca="false">COUNTIF(Members!$A:$A,A2)</f>
        <v>27</v>
      </c>
      <c r="E2" s="11" t="n">
        <f aca="false">SUMIF(Members!$A:$A,A2,Members!$E:$E)</f>
        <v>149999.999997</v>
      </c>
      <c r="F2" s="8" t="str">
        <f aca="false">IF(D2=0,"No investors listed — entries will be withheld","Investors listed")</f>
        <v>Investors listed</v>
      </c>
    </row>
    <row r="3" customFormat="false" ht="15" hidden="false" customHeight="false" outlineLevel="0" collapsed="false">
      <c r="A3" s="9" t="str">
        <f aca="false">'Holdings split'!C25</f>
        <v>M00146223493</v>
      </c>
      <c r="B3" s="9" t="str">
        <f aca="false">'Holdings split'!B25</f>
        <v>Saudi Hospitality</v>
      </c>
      <c r="C3" s="10" t="n">
        <f aca="false">'Holdings split'!G25</f>
        <v>0.9583333333</v>
      </c>
      <c r="D3" s="8" t="n">
        <f aca="false">COUNTIF(Members!$A:$A,A3)</f>
        <v>0</v>
      </c>
      <c r="E3" s="11" t="n">
        <f aca="false">SUMIF(Members!$A:$A,A3,Members!$E:$E)</f>
        <v>0</v>
      </c>
      <c r="F3" s="8" t="str">
        <f aca="false">IF(D3=0,"No investors listed — entries will be withheld","Investors listed")</f>
        <v>No investors listed — entries will be withheld</v>
      </c>
    </row>
    <row r="4" customFormat="false" ht="15" hidden="false" customHeight="false" outlineLevel="0" collapsed="false">
      <c r="A4" s="9" t="str">
        <f aca="false">'Holdings split'!C26</f>
        <v>M00229099272</v>
      </c>
      <c r="B4" s="9" t="str">
        <f aca="false">'Holdings split'!B26</f>
        <v>Vectara</v>
      </c>
      <c r="C4" s="10" t="n">
        <f aca="false">'Holdings split'!G26</f>
        <v>0.2999997186</v>
      </c>
      <c r="D4" s="8" t="n">
        <f aca="false">COUNTIF(Members!$A:$A,A4)</f>
        <v>0</v>
      </c>
      <c r="E4" s="11" t="n">
        <f aca="false">SUMIF(Members!$A:$A,A4,Members!$E:$E)</f>
        <v>0</v>
      </c>
      <c r="F4" s="8" t="str">
        <f aca="false">IF(D4=0,"No investors listed — entries will be withheld","Investors listed")</f>
        <v>No investors listed — entries will be withheld</v>
      </c>
    </row>
    <row r="5" customFormat="false" ht="15" hidden="false" customHeight="false" outlineLevel="0" collapsed="false">
      <c r="A5" s="9" t="str">
        <f aca="false">'Holdings split'!C27</f>
        <v>M00155701502</v>
      </c>
      <c r="B5" s="9" t="str">
        <f aca="false">'Holdings split'!B27</f>
        <v>1QBit</v>
      </c>
      <c r="C5" s="10" t="n">
        <f aca="false">'Holdings split'!G27</f>
        <v>0.6992753623</v>
      </c>
      <c r="D5" s="8" t="n">
        <f aca="false">COUNTIF(Members!$A:$A,A5)</f>
        <v>0</v>
      </c>
      <c r="E5" s="11" t="n">
        <f aca="false">SUMIF(Members!$A:$A,A5,Members!$E:$E)</f>
        <v>0</v>
      </c>
      <c r="F5" s="8" t="str">
        <f aca="false">IF(D5=0,"No investors listed — entries will be withheld","Investors listed")</f>
        <v>No investors listed — entries will be withheld</v>
      </c>
    </row>
    <row r="6" customFormat="false" ht="15" hidden="false" customHeight="false" outlineLevel="0" collapsed="false">
      <c r="A6" s="9" t="str">
        <f aca="false">'Holdings split'!C29</f>
        <v>M00162315753</v>
      </c>
      <c r="B6" s="9" t="str">
        <f aca="false">'Holdings split'!B29</f>
        <v>USA Rare Earth</v>
      </c>
      <c r="C6" s="10" t="n">
        <f aca="false">'Holdings split'!G29</f>
        <v>0.718912887</v>
      </c>
      <c r="D6" s="8" t="n">
        <f aca="false">COUNTIF(Members!$A:$A,A6)</f>
        <v>0</v>
      </c>
      <c r="E6" s="11" t="n">
        <f aca="false">SUMIF(Members!$A:$A,A6,Members!$E:$E)</f>
        <v>0</v>
      </c>
      <c r="F6" s="8" t="str">
        <f aca="false">IF(D6=0,"No investors listed — entries will be withheld","Investors listed")</f>
        <v>No investors listed — entries will be withheld</v>
      </c>
    </row>
    <row r="7" customFormat="false" ht="15" hidden="false" customHeight="false" outlineLevel="0" collapsed="false">
      <c r="A7" s="9" t="str">
        <f aca="false">'Holdings split'!C30</f>
        <v>M00229099266</v>
      </c>
      <c r="B7" s="9" t="str">
        <f aca="false">'Holdings split'!B30</f>
        <v>Elve</v>
      </c>
      <c r="C7" s="10" t="n">
        <f aca="false">'Holdings split'!G30</f>
        <v>0.1815217391</v>
      </c>
      <c r="D7" s="8" t="n">
        <f aca="false">COUNTIF(Members!$A:$A,A7)</f>
        <v>0</v>
      </c>
      <c r="E7" s="11" t="n">
        <f aca="false">SUMIF(Members!$A:$A,A7,Members!$E:$E)</f>
        <v>0</v>
      </c>
      <c r="F7" s="8" t="str">
        <f aca="false">IF(D7=0,"No investors listed — entries will be withheld","Investors listed")</f>
        <v>No investors listed — entries will be withheld</v>
      </c>
    </row>
    <row r="8" customFormat="false" ht="15" hidden="false" customHeight="false" outlineLevel="0" collapsed="false">
      <c r="A8" s="9" t="str">
        <f aca="false">'Holdings split'!C31</f>
        <v>ZZ0000000055</v>
      </c>
      <c r="B8" s="9" t="str">
        <f aca="false">'Holdings split'!B31</f>
        <v>Analog Inference</v>
      </c>
      <c r="C8" s="10" t="n">
        <f aca="false">'Holdings split'!G31</f>
        <v>0.2902173913</v>
      </c>
      <c r="D8" s="8" t="n">
        <f aca="false">COUNTIF(Members!$A:$A,A8)</f>
        <v>0</v>
      </c>
      <c r="E8" s="11" t="n">
        <f aca="false">SUMIF(Members!$A:$A,A8,Members!$E:$E)</f>
        <v>0</v>
      </c>
      <c r="F8" s="8" t="str">
        <f aca="false">IF(D8=0,"No investors listed — entries will be withheld","Investors listed")</f>
        <v>No investors listed — entries will be withheld</v>
      </c>
    </row>
    <row r="9" customFormat="false" ht="15" hidden="false" customHeight="false" outlineLevel="0" collapsed="false">
      <c r="A9" s="9" t="str">
        <f aca="false">'Holdings split'!C32</f>
        <v>M00229099267</v>
      </c>
      <c r="B9" s="9" t="str">
        <f aca="false">'Holdings split'!B32</f>
        <v>Cogntiv</v>
      </c>
      <c r="C9" s="10" t="n">
        <f aca="false">'Holdings split'!G32</f>
        <v>0.3086956522</v>
      </c>
      <c r="D9" s="8" t="n">
        <f aca="false">COUNTIF(Members!$A:$A,A9)</f>
        <v>0</v>
      </c>
      <c r="E9" s="11" t="n">
        <f aca="false">SUMIF(Members!$A:$A,A9,Members!$E:$E)</f>
        <v>0</v>
      </c>
      <c r="F9" s="8" t="str">
        <f aca="false">IF(D9=0,"No investors listed — entries will be withheld","Investors listed")</f>
        <v>No investors listed — entries will be withheld</v>
      </c>
    </row>
    <row r="10" customFormat="false" ht="15" hidden="false" customHeight="false" outlineLevel="0" collapsed="false">
      <c r="A10" s="9" t="str">
        <f aca="false">'Holdings split'!C33</f>
        <v>M00229099265</v>
      </c>
      <c r="B10" s="9" t="str">
        <f aca="false">'Holdings split'!B33</f>
        <v>Paradromics</v>
      </c>
      <c r="C10" s="10" t="n">
        <f aca="false">'Holdings split'!G33</f>
        <v>0.1434782609</v>
      </c>
      <c r="D10" s="8" t="n">
        <f aca="false">COUNTIF(Members!$A:$A,A10)</f>
        <v>0</v>
      </c>
      <c r="E10" s="11" t="n">
        <f aca="false">SUMIF(Members!$A:$A,A10,Members!$E:$E)</f>
        <v>0</v>
      </c>
      <c r="F10" s="8" t="str">
        <f aca="false">IF(D10=0,"No investors listed — entries will be withheld","Investors listed")</f>
        <v>No investors listed — entries will be withheld</v>
      </c>
    </row>
    <row r="11" customFormat="false" ht="15" hidden="false" customHeight="false" outlineLevel="0" collapsed="false">
      <c r="A11" s="9" t="str">
        <f aca="false">'Holdings split'!C34</f>
        <v>M00146217830</v>
      </c>
      <c r="B11" s="9" t="str">
        <f aca="false">'Holdings split'!B34</f>
        <v>Arsenal Bio</v>
      </c>
      <c r="C11" s="10" t="n">
        <f aca="false">'Holdings split'!G34</f>
        <v>0.5983400136</v>
      </c>
      <c r="D11" s="8" t="n">
        <f aca="false">COUNTIF(Members!$A:$A,A11)</f>
        <v>0</v>
      </c>
      <c r="E11" s="11" t="n">
        <f aca="false">SUMIF(Members!$A:$A,A11,Members!$E:$E)</f>
        <v>0</v>
      </c>
      <c r="F11" s="8" t="str">
        <f aca="false">IF(D11=0,"No investors listed — entries will be withheld","Investors listed")</f>
        <v>No investors listed — entries will be withheld</v>
      </c>
    </row>
    <row r="12" customFormat="false" ht="15" hidden="false" customHeight="false" outlineLevel="0" collapsed="false">
      <c r="A12" s="9" t="str">
        <f aca="false">'Holdings split'!C35</f>
        <v>ZZ0000000063</v>
      </c>
      <c r="B12" s="9" t="str">
        <f aca="false">'Holdings split'!B35</f>
        <v>Good Chemistry</v>
      </c>
      <c r="C12" s="10" t="n">
        <f aca="false">'Holdings split'!G35</f>
        <v>0.5</v>
      </c>
      <c r="D12" s="8" t="n">
        <f aca="false">COUNTIF(Members!$A:$A,A12)</f>
        <v>0</v>
      </c>
      <c r="E12" s="11" t="n">
        <f aca="false">SUMIF(Members!$A:$A,A12,Members!$E:$E)</f>
        <v>0</v>
      </c>
      <c r="F12" s="8" t="str">
        <f aca="false">IF(D12=0,"No investors listed — entries will be withheld","Investors listed")</f>
        <v>No investors listed — entries will be withheld</v>
      </c>
    </row>
    <row r="13" customFormat="false" ht="15" hidden="false" customHeight="false" outlineLevel="0" collapsed="false">
      <c r="A13" s="9" t="str">
        <f aca="false">'Holdings split'!C38</f>
        <v>KYG7387H1526</v>
      </c>
      <c r="B13" s="9" t="str">
        <f aca="false">'Holdings split'!B38</f>
        <v>Vantage Data Centre</v>
      </c>
      <c r="C13" s="10" t="n">
        <f aca="false">'Holdings split'!G38</f>
        <v>0.9466804836</v>
      </c>
      <c r="D13" s="8" t="n">
        <f aca="false">COUNTIF(Members!$A:$A,A13)</f>
        <v>0</v>
      </c>
      <c r="E13" s="11" t="n">
        <f aca="false">SUMIF(Members!$A:$A,A13,Members!$E:$E)</f>
        <v>0</v>
      </c>
      <c r="F13" s="8" t="str">
        <f aca="false">IF(D13=0,"No investors listed — entries will be withheld","Investors listed")</f>
        <v>No investors listed — entries will be withheld</v>
      </c>
    </row>
    <row r="14" customFormat="false" ht="15" hidden="false" customHeight="false" outlineLevel="0" collapsed="false">
      <c r="A14" s="9" t="str">
        <f aca="false">'Holdings split'!C39</f>
        <v>XS3101460304</v>
      </c>
      <c r="B14" s="9" t="str">
        <f aca="false">'Holdings split'!B39</f>
        <v>Dar Al Arkan Sukuk 7.250% 02/07/2030</v>
      </c>
      <c r="C14" s="10" t="n">
        <f aca="false">'Holdings split'!G39</f>
        <v>1</v>
      </c>
      <c r="D14" s="8" t="n">
        <f aca="false">COUNTIF(Members!$A:$A,A14)</f>
        <v>0</v>
      </c>
      <c r="E14" s="11" t="n">
        <f aca="false">SUMIF(Members!$A:$A,A14,Members!$E:$E)</f>
        <v>0</v>
      </c>
      <c r="F14" s="8" t="str">
        <f aca="false">IF(D14=0,"No investors listed — entries will be withheld","Investors listed")</f>
        <v>No investors listed — entries will be withheld</v>
      </c>
    </row>
    <row r="15" customFormat="false" ht="15" hidden="false" customHeight="false" outlineLevel="0" collapsed="false">
      <c r="A15" s="9" t="str">
        <f aca="false">'Holdings split'!C40</f>
        <v>M00229099270</v>
      </c>
      <c r="B15" s="9" t="str">
        <f aca="false">'Holdings split'!B40</f>
        <v>US Living Debt Fund I</v>
      </c>
      <c r="C15" s="10" t="n">
        <f aca="false">'Holdings split'!G40</f>
        <v>0.6370772947</v>
      </c>
      <c r="D15" s="8" t="n">
        <f aca="false">COUNTIF(Members!$A:$A,A15)</f>
        <v>0</v>
      </c>
      <c r="E15" s="11" t="n">
        <f aca="false">SUMIF(Members!$A:$A,A15,Members!$E:$E)</f>
        <v>0</v>
      </c>
      <c r="F15" s="8" t="str">
        <f aca="false">IF(D15=0,"No investors listed — entries will be withheld","Investors listed")</f>
        <v>No investors listed — entries will be withheld</v>
      </c>
    </row>
    <row r="16" customFormat="false" ht="15" hidden="false" customHeight="false" outlineLevel="0" collapsed="false">
      <c r="A16" s="9" t="str">
        <f aca="false">'Holdings split'!C41</f>
        <v>M00229099271</v>
      </c>
      <c r="B16" s="9" t="str">
        <f aca="false">'Holdings split'!B41</f>
        <v>Wadi Al Amal</v>
      </c>
      <c r="C16" s="10" t="n">
        <f aca="false">'Holdings split'!G41</f>
        <v>0.4875805624</v>
      </c>
      <c r="D16" s="8" t="n">
        <f aca="false">COUNTIF(Members!$A:$A,A16)</f>
        <v>0</v>
      </c>
      <c r="E16" s="11" t="n">
        <f aca="false">SUMIF(Members!$A:$A,A16,Members!$E:$E)</f>
        <v>0</v>
      </c>
      <c r="F16" s="8" t="str">
        <f aca="false">IF(D16=0,"No investors listed — entries will be withheld","Investors listed")</f>
        <v>No investors listed — entries will be withheld</v>
      </c>
    </row>
    <row r="17" customFormat="false" ht="15" hidden="false" customHeight="false" outlineLevel="0" collapsed="false">
      <c r="A17" s="9" t="str">
        <f aca="false">'Holdings split'!C42</f>
        <v>M00214974768</v>
      </c>
      <c r="B17" s="9" t="str">
        <f aca="false">'Holdings split'!B42</f>
        <v>Flooss Holding</v>
      </c>
      <c r="C17" s="10" t="n">
        <f aca="false">'Holdings split'!G42</f>
        <v>0.4993206522</v>
      </c>
      <c r="D17" s="8" t="n">
        <f aca="false">COUNTIF(Members!$A:$A,A17)</f>
        <v>0</v>
      </c>
      <c r="E17" s="11" t="n">
        <f aca="false">SUMIF(Members!$A:$A,A17,Members!$E:$E)</f>
        <v>0</v>
      </c>
      <c r="F17" s="8" t="str">
        <f aca="false">IF(D17=0,"No investors listed — entries will be withheld","Investors listed")</f>
        <v>No investors listed — entries will be withheld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2026-10-06T10:42:50Z</dcterms:created>
  <dc:creator>openpyxl</dc:creator>
  <dc:description/>
  <dc:language>en-US</dc:language>
  <cp:lastModifiedBy/>
  <dcterms:modified xsi:type="dcterms:W3CDTF">2026-10-06T10:42:50Z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